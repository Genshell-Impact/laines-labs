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ewa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<sst xmlns="http://schemas.openxmlformats.org/spreadsheetml/2006/main" count="45" uniqueCount="35">
  <si>
    <t xml:space="preserve">Vendor Contract Renewal Schedule</t>
  </si>
  <si>
    <t xml:space="preserve">Maintained by Procurement. Last updated 2026-08-27. Values in USD.</t>
  </si>
  <si>
    <t xml:space="preserve">Vendor</t>
  </si>
  <si>
    <t xml:space="preserve">Service</t>
  </si>
  <si>
    <t xml:space="preserve">Owner Dept</t>
  </si>
  <si>
    <t xml:space="preserve">Renewal Date</t>
  </si>
  <si>
    <t xml:space="preserve">Term (months)</t>
  </si>
  <si>
    <t xml:space="preserve">Annual Cost ($)</t>
  </si>
  <si>
    <t xml:space="preserve">Auto-Renew</t>
  </si>
  <si>
    <t xml:space="preserve">Days to Renewal</t>
  </si>
  <si>
    <t xml:space="preserve">Northgate Office Supply</t>
  </si>
  <si>
    <t xml:space="preserve">Office consumables</t>
  </si>
  <si>
    <t xml:space="preserve">Facilities</t>
  </si>
  <si>
    <t xml:space="preserve">Yes</t>
  </si>
  <si>
    <t xml:space="preserve">Brightline Telecom</t>
  </si>
  <si>
    <t xml:space="preserve">Internet and voice</t>
  </si>
  <si>
    <t xml:space="preserve">IT Operations</t>
  </si>
  <si>
    <t xml:space="preserve">Cedarwood Cleaning Co.</t>
  </si>
  <si>
    <t xml:space="preserve">Janitorial services</t>
  </si>
  <si>
    <t xml:space="preserve">No</t>
  </si>
  <si>
    <t xml:space="preserve">Summit Payroll Services</t>
  </si>
  <si>
    <t xml:space="preserve">Payroll processing</t>
  </si>
  <si>
    <t xml:space="preserve">Finance</t>
  </si>
  <si>
    <t xml:space="preserve">Harbor Insurance Group</t>
  </si>
  <si>
    <t xml:space="preserve">Property and liability</t>
  </si>
  <si>
    <t xml:space="preserve">Clearview Security</t>
  </si>
  <si>
    <t xml:space="preserve">Alarm monitoring</t>
  </si>
  <si>
    <t xml:space="preserve">Pinnacle Benefits Admin</t>
  </si>
  <si>
    <t xml:space="preserve">Benefits administration</t>
  </si>
  <si>
    <t xml:space="preserve">HR</t>
  </si>
  <si>
    <t xml:space="preserve">Mapleton Software Ltd.</t>
  </si>
  <si>
    <t xml:space="preserve">Productivity licenses</t>
  </si>
  <si>
    <t xml:space="preserve">Total</t>
  </si>
  <si>
    <t xml:space="preserve">Reference date:</t>
  </si>
  <si>
    <t xml:space="preserve">Hardcoded reference date used for 'Days to Renewal'; update as needed.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</si>
</sst>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i val="true"/>
      <sz val="9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0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0"/>
      <name val="Times New Roman"/>
      <family val="0"/>
      <charset val="1"/>
    </font>
    <font>
      <sz val="10"/>
      <color rgb="FF0000FF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5" t="n">
        <v>46356</v>
      </c>
      <c r="E5" s="4" t="n">
        <v>12</v>
      </c>
      <c r="F5" s="6" t="n">
        <v>18400</v>
      </c>
      <c r="G5" s="4" t="s">
        <v>13</v>
      </c>
      <c r="H5" s="7" t="n">
        <f aca="false">D5-$B$15</f>
        <v>52</v>
      </c>
    </row>
    <row r="6" customFormat="false" ht="15" hidden="false" customHeight="false" outlineLevel="0" collapsed="false">
      <c r="A6" s="4" t="s">
        <v>14</v>
      </c>
      <c r="B6" s="4" t="s">
        <v>15</v>
      </c>
      <c r="C6" s="4" t="s">
        <v>16</v>
      </c>
      <c r="D6" s="5" t="n">
        <v>46371</v>
      </c>
      <c r="E6" s="4" t="n">
        <v>36</v>
      </c>
      <c r="F6" s="6" t="n">
        <v>52800</v>
      </c>
      <c r="G6" s="4" t="s">
        <v>13</v>
      </c>
      <c r="H6" s="7" t="n">
        <f aca="false">D6-$B$15</f>
        <v>67</v>
      </c>
    </row>
    <row r="7" customFormat="false" ht="15" hidden="false" customHeight="false" outlineLevel="0" collapsed="false">
      <c r="A7" s="4" t="s">
        <v>17</v>
      </c>
      <c r="B7" s="4" t="s">
        <v>18</v>
      </c>
      <c r="C7" s="4" t="s">
        <v>12</v>
      </c>
      <c r="D7" s="5" t="n">
        <v>46418</v>
      </c>
      <c r="E7" s="4" t="n">
        <v>12</v>
      </c>
      <c r="F7" s="6" t="n">
        <v>41200</v>
      </c>
      <c r="G7" s="4" t="s">
        <v>19</v>
      </c>
      <c r="H7" s="7" t="n">
        <f aca="false">D7-$B$15</f>
        <v>114</v>
      </c>
    </row>
    <row r="8" customFormat="false" ht="15" hidden="false" customHeight="false" outlineLevel="0" collapsed="false">
      <c r="A8" s="4" t="s">
        <v>20</v>
      </c>
      <c r="B8" s="4" t="s">
        <v>21</v>
      </c>
      <c r="C8" s="4" t="s">
        <v>22</v>
      </c>
      <c r="D8" s="5" t="n">
        <v>46446</v>
      </c>
      <c r="E8" s="4" t="n">
        <v>24</v>
      </c>
      <c r="F8" s="6" t="n">
        <v>23600</v>
      </c>
      <c r="G8" s="4" t="s">
        <v>13</v>
      </c>
      <c r="H8" s="7" t="n">
        <f aca="false">D8-$B$15</f>
        <v>142</v>
      </c>
    </row>
    <row r="9" customFormat="false" ht="15" hidden="false" customHeight="false" outlineLevel="0" collapsed="false">
      <c r="A9" s="4" t="s">
        <v>23</v>
      </c>
      <c r="B9" s="4" t="s">
        <v>24</v>
      </c>
      <c r="C9" s="4" t="s">
        <v>22</v>
      </c>
      <c r="D9" s="5" t="n">
        <v>46477</v>
      </c>
      <c r="E9" s="4" t="n">
        <v>12</v>
      </c>
      <c r="F9" s="6" t="n">
        <v>67500</v>
      </c>
      <c r="G9" s="4" t="s">
        <v>19</v>
      </c>
      <c r="H9" s="7" t="n">
        <f aca="false">D9-$B$15</f>
        <v>173</v>
      </c>
    </row>
    <row r="10" customFormat="false" ht="15" hidden="false" customHeight="false" outlineLevel="0" collapsed="false">
      <c r="A10" s="4" t="s">
        <v>25</v>
      </c>
      <c r="B10" s="4" t="s">
        <v>26</v>
      </c>
      <c r="C10" s="4" t="s">
        <v>12</v>
      </c>
      <c r="D10" s="5" t="n">
        <v>46507</v>
      </c>
      <c r="E10" s="4" t="n">
        <v>24</v>
      </c>
      <c r="F10" s="6" t="n">
        <v>9600</v>
      </c>
      <c r="G10" s="4" t="s">
        <v>13</v>
      </c>
      <c r="H10" s="7" t="n">
        <f aca="false">D10-$B$15</f>
        <v>203</v>
      </c>
    </row>
    <row r="11" customFormat="false" ht="15" hidden="false" customHeight="false" outlineLevel="0" collapsed="false">
      <c r="A11" s="4" t="s">
        <v>27</v>
      </c>
      <c r="B11" s="4" t="s">
        <v>28</v>
      </c>
      <c r="C11" s="4" t="s">
        <v>29</v>
      </c>
      <c r="D11" s="5" t="n">
        <v>46538</v>
      </c>
      <c r="E11" s="4" t="n">
        <v>12</v>
      </c>
      <c r="F11" s="6" t="n">
        <v>31000</v>
      </c>
      <c r="G11" s="4" t="s">
        <v>19</v>
      </c>
      <c r="H11" s="7" t="n">
        <f aca="false">D11-$B$15</f>
        <v>234</v>
      </c>
    </row>
    <row r="12" customFormat="false" ht="15" hidden="false" customHeight="false" outlineLevel="0" collapsed="false">
      <c r="A12" s="4" t="s">
        <v>30</v>
      </c>
      <c r="B12" s="4" t="s">
        <v>31</v>
      </c>
      <c r="C12" s="4" t="s">
        <v>16</v>
      </c>
      <c r="D12" s="5" t="n">
        <v>46568</v>
      </c>
      <c r="E12" s="4" t="n">
        <v>12</v>
      </c>
      <c r="F12" s="6" t="n">
        <v>74300</v>
      </c>
      <c r="G12" s="4" t="s">
        <v>13</v>
      </c>
      <c r="H12" s="7" t="n">
        <f aca="false">D12-$B$15</f>
        <v>264</v>
      </c>
    </row>
    <row r="13" customFormat="false" ht="15" hidden="false" customHeight="false" outlineLevel="0" collapsed="false">
      <c r="E13" s="8" t="s">
        <v>32</v>
      </c>
      <c r="F13" s="9" t="n">
        <f aca="false">SUM(F5:F12)</f>
        <v>318400</v>
      </c>
    </row>
    <row r="15" customFormat="false" ht="15" hidden="false" customHeight="false" outlineLevel="0" collapsed="false">
      <c r="A15" s="10" t="s">
        <v>33</v>
      </c>
      <c r="B15" s="11" t="n">
        <v>46304</v>
      </c>
      <c r="C15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2026-08-27T10:00:00Z</dcterms:created>
  <dc:creator>Procurement</dc:creator>
  <dc:description/>
  <dc:language>en-US</dc:language>
  <cp:lastModifiedBy/>
  <dcterms:modified xsi:type="dcterms:W3CDTF">2026-10-09T05:55:29Z</dcterms:modified>
  <cp:revision>0</cp:revision>
  <dc:subject/>
  <dc:title>Vendor Renewal Schedule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